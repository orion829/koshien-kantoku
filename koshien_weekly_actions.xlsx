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lin\AppData\Local\Temp\claude\G---------AI-Work-Space-Code-------\4feef229-56cc-46e7-999b-e12551fa4ff8\scratchpad\"/>
    </mc:Choice>
  </mc:AlternateContent>
  <xr:revisionPtr revIDLastSave="0" documentId="13_ncr:1_{7E293FBA-135C-417E-A03E-AFE436A3239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一年的每一週" sheetId="1" r:id="rId1"/>
    <sheet name="每週可做的行動" sheetId="2" r:id="rId2"/>
    <sheet name="行動一覽" sheetId="3" r:id="rId3"/>
    <sheet name="練習項目的權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4" l="1"/>
  <c r="L11" i="4"/>
  <c r="L10" i="4"/>
  <c r="L9" i="4"/>
  <c r="L8" i="4"/>
  <c r="L7" i="4"/>
  <c r="L6" i="4"/>
  <c r="L5" i="4"/>
  <c r="P30" i="2"/>
  <c r="D16" i="3" s="1"/>
  <c r="O30" i="2"/>
  <c r="D15" i="3" s="1"/>
  <c r="N30" i="2"/>
  <c r="D14" i="3" s="1"/>
  <c r="M30" i="2"/>
  <c r="D13" i="3" s="1"/>
  <c r="L30" i="2"/>
  <c r="D12" i="3" s="1"/>
  <c r="K30" i="2"/>
  <c r="D11" i="3" s="1"/>
  <c r="J30" i="2"/>
  <c r="D10" i="3" s="1"/>
  <c r="I30" i="2"/>
  <c r="D9" i="3" s="1"/>
  <c r="H30" i="2"/>
  <c r="D8" i="3" s="1"/>
  <c r="G30" i="2"/>
  <c r="D7" i="3" s="1"/>
  <c r="F30" i="2"/>
  <c r="D6" i="3" s="1"/>
  <c r="E30" i="2"/>
  <c r="D5" i="3" s="1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C36" i="1"/>
  <c r="C35" i="1"/>
  <c r="C34" i="1"/>
  <c r="C33" i="1"/>
  <c r="C32" i="1"/>
  <c r="C31" i="1"/>
</calcChain>
</file>

<file path=xl/sharedStrings.xml><?xml version="1.0" encoding="utf-8"?>
<sst xmlns="http://schemas.openxmlformats.org/spreadsheetml/2006/main" count="390" uniqueCount="131">
  <si>
    <t>一年的每一週（普通難度・25 週）</t>
  </si>
  <si>
    <t>第 1 年從第 7 週「決定 20 人名單」開始（六月上任）。第 3 年打完第 12 週的甲子園就結束。</t>
  </si>
  <si>
    <t>週</t>
  </si>
  <si>
    <t>時期</t>
  </si>
  <si>
    <t>事件</t>
  </si>
  <si>
    <t>種別</t>
  </si>
  <si>
    <t>場數</t>
  </si>
  <si>
    <t>有沒有可能不打</t>
  </si>
  <si>
    <t>這一週要決定什麼</t>
  </si>
  <si>
    <t>可選行動數</t>
  </si>
  <si>
    <t>4月初</t>
  </si>
  <si>
    <t>開學 ／ 升上新年級</t>
  </si>
  <si>
    <t>過場</t>
  </si>
  <si>
    <t>4月中</t>
  </si>
  <si>
    <t>新生入學（新隊員加入）</t>
  </si>
  <si>
    <t>新生加入（自動）</t>
  </si>
  <si>
    <t>4月底</t>
  </si>
  <si>
    <t>新生測驗 ／ 決定守備位置</t>
  </si>
  <si>
    <t>練習</t>
  </si>
  <si>
    <t>決定新生的守備位置</t>
  </si>
  <si>
    <t>5月初</t>
  </si>
  <si>
    <t>練習賽 ①</t>
  </si>
  <si>
    <t>5月底</t>
  </si>
  <si>
    <t>練習賽 ②（順便觀察對手）</t>
  </si>
  <si>
    <t>6月初</t>
  </si>
  <si>
    <t>練習賽 ③</t>
  </si>
  <si>
    <t>6月底</t>
  </si>
  <si>
    <t>決定 20 人名單 ／ 抽籤</t>
  </si>
  <si>
    <t>★ 砍到 20 人（真實規則）</t>
  </si>
  <si>
    <t>最後調整</t>
  </si>
  <si>
    <t>7月初</t>
  </si>
  <si>
    <t>地區大賽 第1輪〜第3輪</t>
  </si>
  <si>
    <t>比賽</t>
  </si>
  <si>
    <t>7月底</t>
  </si>
  <si>
    <t>地區大賽 八強賽〜冠軍賽</t>
  </si>
  <si>
    <t>會（輸了就變練習週）</t>
  </si>
  <si>
    <t>8月初</t>
  </si>
  <si>
    <t>甲子園 第1輪〜第3輪</t>
  </si>
  <si>
    <t>8月底</t>
  </si>
  <si>
    <t>甲子園 八強賽〜冠軍賽</t>
  </si>
  <si>
    <t>三年級退隊 ／ 組新隊伍</t>
  </si>
  <si>
    <t>三年級離隊（自動）</t>
  </si>
  <si>
    <t>9月初</t>
  </si>
  <si>
    <t>選新隊長 ／ 重排守備位置</t>
  </si>
  <si>
    <t>選新隊長、重排守備位置</t>
  </si>
  <si>
    <t>9月底</t>
  </si>
  <si>
    <t>秋季縣大賽 第1輪〜冠軍賽</t>
  </si>
  <si>
    <t>10月中</t>
  </si>
  <si>
    <t>秋季地區大賽 第1輪〜冠軍賽</t>
  </si>
  <si>
    <t>10月底</t>
  </si>
  <si>
    <t>職棒選秀 ／ 開始招生</t>
  </si>
  <si>
    <t>11月</t>
  </si>
  <si>
    <t>去看國中生</t>
  </si>
  <si>
    <t>12月</t>
  </si>
  <si>
    <t>冬季集訓 ①</t>
  </si>
  <si>
    <t>冬季集訓 ②</t>
  </si>
  <si>
    <t>1月</t>
  </si>
  <si>
    <t>最後招生談判</t>
  </si>
  <si>
    <t>2月</t>
  </si>
  <si>
    <t>確定新生（招生截止）</t>
  </si>
  <si>
    <t>★ 最後確認要收哪些新生</t>
  </si>
  <si>
    <t>3月初</t>
  </si>
  <si>
    <t>春季甲子園選拔公布 ／ 畢業典禮</t>
  </si>
  <si>
    <t>看有沒有選上春季甲子園</t>
  </si>
  <si>
    <t>3月底</t>
  </si>
  <si>
    <t>春季甲子園 第1輪〜八強賽</t>
  </si>
  <si>
    <t>春季甲子園 四強賽〜冠軍賽</t>
  </si>
  <si>
    <t>合計</t>
  </si>
  <si>
    <t>比賽週</t>
  </si>
  <si>
    <t>練習週</t>
  </si>
  <si>
    <t>過場週</t>
  </si>
  <si>
    <t>正式比賽場數</t>
  </si>
  <si>
    <t>預設的練習賽場數</t>
  </si>
  <si>
    <t>總週數</t>
  </si>
  <si>
    <t>每週可做的行動</t>
  </si>
  <si>
    <t>○＝可以選　空白＝不能選。一週只能挑一個。比賽週和過場週沒有行動可選。</t>
  </si>
  <si>
    <t>打擊練習</t>
  </si>
  <si>
    <t>長打練習</t>
  </si>
  <si>
    <t>守備練習</t>
  </si>
  <si>
    <t>傳球練習</t>
  </si>
  <si>
    <t>跑壘練習</t>
  </si>
  <si>
    <t>投球練習</t>
  </si>
  <si>
    <t>變化球練習</t>
  </si>
  <si>
    <t>體能訓練</t>
  </si>
  <si>
    <t>練習賽</t>
  </si>
  <si>
    <t>休息</t>
  </si>
  <si>
    <t>招生</t>
  </si>
  <si>
    <t>偵察對手</t>
  </si>
  <si>
    <t>可選數</t>
  </si>
  <si>
    <t>○</t>
  </si>
  <si>
    <t>這個行動一年可以用幾週</t>
  </si>
  <si>
    <t>行動一覽</t>
  </si>
  <si>
    <t>一週只能挑一個行動。這是整個遊戲的核心取捨。</t>
  </si>
  <si>
    <t>行動</t>
  </si>
  <si>
    <t>種類</t>
  </si>
  <si>
    <t>效果</t>
  </si>
  <si>
    <t>一年可用週數</t>
  </si>
  <si>
    <t>練習項目</t>
  </si>
  <si>
    <t>打擊 +1.0、力量 +0.5</t>
  </si>
  <si>
    <t>力量 +1.0、打擊 +0.35</t>
  </si>
  <si>
    <t>守備 +1.0、接球 +0.75</t>
  </si>
  <si>
    <t>臂力 +1.0、守備 +0.35</t>
  </si>
  <si>
    <t>速度 +1.0、打擊 +0.2</t>
  </si>
  <si>
    <t>控球 +1.0、球速 +0.7（野手效果只有三成）</t>
  </si>
  <si>
    <t>變化球 +1.0、控球 +0.35（野手效果只有三成）</t>
  </si>
  <si>
    <t>耐力 +0.8、速度 +0.45、力量 +0.45</t>
  </si>
  <si>
    <t>其他</t>
  </si>
  <si>
    <t>士氣計時器往回撥 4 週。不長能力，但不打的話練習效率會一路掉到五成</t>
  </si>
  <si>
    <t>消疲勞、降低受傷機率（疲勞系統還沒做）</t>
  </si>
  <si>
    <t>限定</t>
  </si>
  <si>
    <t>去談新生。只有冬天的招生視窗能用</t>
  </si>
  <si>
    <t>看下一場的對手，比賽時有加成。只有大賽前幾週能用</t>
  </si>
  <si>
    <t>說明</t>
  </si>
  <si>
    <t>・練習項目的數字是「成長權重」。權重 1.0 在效率滿、天賦 3 星時，一週大約長 3 分。</t>
  </si>
  <si>
    <t>・沒挑到的能力也會長一點（基礎成長，權重 0.5），因為高中生每天都在練球。</t>
  </si>
  <si>
    <t>・練習賽本身不長能力，但它是唯一能重置士氣的方法。最佳節奏是「練 4 週打 1 場」。</t>
  </si>
  <si>
    <t>・投球和變化球練習對野手只有三成效果，野手練不出投手。</t>
  </si>
  <si>
    <t>・休息和偵察的效果還沒實作，先列在這裡當設計備忘。</t>
  </si>
  <si>
    <t>練習項目的成長權重</t>
  </si>
  <si>
    <t>空白＝只有基礎成長 0.5。數字越大長越快。</t>
  </si>
  <si>
    <t>打擊</t>
  </si>
  <si>
    <t>力量</t>
  </si>
  <si>
    <t>速度</t>
  </si>
  <si>
    <t>臂力</t>
  </si>
  <si>
    <t>守備</t>
  </si>
  <si>
    <t>接球</t>
  </si>
  <si>
    <t>球速</t>
  </si>
  <si>
    <t>控球</t>
  </si>
  <si>
    <t>耐力</t>
  </si>
  <si>
    <t>變化球</t>
  </si>
  <si>
    <t>權重合計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</si>
</sst>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3"/>
      <color rgb="FF1F3B4D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808080"/>
      <name val="Arial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EFEFEF"/>
      </patternFill>
    </fill>
    <fill>
      <patternFill patternType="solid">
        <fgColor rgb="FFE3F0E4"/>
      </patternFill>
    </fill>
    <fill>
      <patternFill patternType="solid">
        <fgColor rgb="FFFFF2CC"/>
      </patternFill>
    </fill>
    <fill>
      <patternFill patternType="solid">
        <fgColor rgb="FFFCE6D5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/>
    <xf numFmtId="0" fontId="5" fillId="0" borderId="1" xfId="0" applyFont="1" applyBorder="1"/>
    <xf numFmtId="2" fontId="4" fillId="7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"/>
  <cols>
    <col min="1" max="1" width="5" customWidth="1"/>
    <col min="2" max="2" width="8" customWidth="1"/>
    <col min="3" max="3" width="34" customWidth="1"/>
    <col min="4" max="5" width="7" customWidth="1"/>
    <col min="6" max="6" width="20" customWidth="1"/>
    <col min="7" max="7" width="26" customWidth="1"/>
    <col min="8" max="8" width="11" customWidth="1"/>
  </cols>
  <sheetData>
    <row r="1" spans="1:8" ht="16.5" x14ac:dyDescent="0.35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">
      <c r="A5" s="4">
        <v>1</v>
      </c>
      <c r="B5" s="5" t="s">
        <v>10</v>
      </c>
      <c r="C5" s="5" t="s">
        <v>11</v>
      </c>
      <c r="D5" s="6" t="s">
        <v>12</v>
      </c>
      <c r="E5" s="4"/>
      <c r="F5" s="5"/>
      <c r="G5" s="5"/>
      <c r="H5" s="4"/>
    </row>
    <row r="6" spans="1:8" x14ac:dyDescent="0.3">
      <c r="A6" s="4">
        <v>2</v>
      </c>
      <c r="B6" s="5" t="s">
        <v>13</v>
      </c>
      <c r="C6" s="5" t="s">
        <v>14</v>
      </c>
      <c r="D6" s="6" t="s">
        <v>12</v>
      </c>
      <c r="E6" s="4"/>
      <c r="F6" s="5"/>
      <c r="G6" s="5" t="s">
        <v>15</v>
      </c>
      <c r="H6" s="4"/>
    </row>
    <row r="7" spans="1:8" x14ac:dyDescent="0.3">
      <c r="A7" s="4">
        <v>3</v>
      </c>
      <c r="B7" s="5" t="s">
        <v>16</v>
      </c>
      <c r="C7" s="5" t="s">
        <v>17</v>
      </c>
      <c r="D7" s="7" t="s">
        <v>18</v>
      </c>
      <c r="E7" s="4"/>
      <c r="F7" s="5"/>
      <c r="G7" s="5" t="s">
        <v>19</v>
      </c>
      <c r="H7" s="4">
        <v>10</v>
      </c>
    </row>
    <row r="8" spans="1:8" x14ac:dyDescent="0.3">
      <c r="A8" s="4">
        <v>4</v>
      </c>
      <c r="B8" s="5" t="s">
        <v>20</v>
      </c>
      <c r="C8" s="5" t="s">
        <v>21</v>
      </c>
      <c r="D8" s="7" t="s">
        <v>18</v>
      </c>
      <c r="E8" s="4">
        <v>1</v>
      </c>
      <c r="F8" s="5"/>
      <c r="G8" s="5"/>
      <c r="H8" s="4">
        <v>10</v>
      </c>
    </row>
    <row r="9" spans="1:8" x14ac:dyDescent="0.3">
      <c r="A9" s="4">
        <v>5</v>
      </c>
      <c r="B9" s="5" t="s">
        <v>22</v>
      </c>
      <c r="C9" s="5" t="s">
        <v>23</v>
      </c>
      <c r="D9" s="7" t="s">
        <v>18</v>
      </c>
      <c r="E9" s="4">
        <v>1</v>
      </c>
      <c r="F9" s="5"/>
      <c r="G9" s="5"/>
      <c r="H9" s="4">
        <v>10</v>
      </c>
    </row>
    <row r="10" spans="1:8" x14ac:dyDescent="0.3">
      <c r="A10" s="4">
        <v>6</v>
      </c>
      <c r="B10" s="5" t="s">
        <v>24</v>
      </c>
      <c r="C10" s="5" t="s">
        <v>25</v>
      </c>
      <c r="D10" s="7" t="s">
        <v>18</v>
      </c>
      <c r="E10" s="4">
        <v>1</v>
      </c>
      <c r="F10" s="5"/>
      <c r="G10" s="5"/>
      <c r="H10" s="4">
        <v>11</v>
      </c>
    </row>
    <row r="11" spans="1:8" x14ac:dyDescent="0.3">
      <c r="A11" s="4">
        <v>7</v>
      </c>
      <c r="B11" s="5" t="s">
        <v>26</v>
      </c>
      <c r="C11" s="5" t="s">
        <v>27</v>
      </c>
      <c r="D11" s="6" t="s">
        <v>12</v>
      </c>
      <c r="E11" s="4"/>
      <c r="F11" s="5"/>
      <c r="G11" s="8" t="s">
        <v>28</v>
      </c>
      <c r="H11" s="4"/>
    </row>
    <row r="12" spans="1:8" x14ac:dyDescent="0.3">
      <c r="A12" s="4">
        <v>8</v>
      </c>
      <c r="B12" s="5" t="s">
        <v>26</v>
      </c>
      <c r="C12" s="5" t="s">
        <v>29</v>
      </c>
      <c r="D12" s="7" t="s">
        <v>18</v>
      </c>
      <c r="E12" s="4"/>
      <c r="F12" s="5"/>
      <c r="G12" s="5"/>
      <c r="H12" s="4">
        <v>11</v>
      </c>
    </row>
    <row r="13" spans="1:8" x14ac:dyDescent="0.3">
      <c r="A13" s="4">
        <v>9</v>
      </c>
      <c r="B13" s="5" t="s">
        <v>30</v>
      </c>
      <c r="C13" s="5" t="s">
        <v>31</v>
      </c>
      <c r="D13" s="9" t="s">
        <v>32</v>
      </c>
      <c r="E13" s="4">
        <v>3</v>
      </c>
      <c r="F13" s="5"/>
      <c r="G13" s="5"/>
      <c r="H13" s="4"/>
    </row>
    <row r="14" spans="1:8" x14ac:dyDescent="0.3">
      <c r="A14" s="4">
        <v>10</v>
      </c>
      <c r="B14" s="5" t="s">
        <v>33</v>
      </c>
      <c r="C14" s="5" t="s">
        <v>34</v>
      </c>
      <c r="D14" s="9" t="s">
        <v>32</v>
      </c>
      <c r="E14" s="4">
        <v>3</v>
      </c>
      <c r="F14" s="5" t="s">
        <v>35</v>
      </c>
      <c r="G14" s="5"/>
      <c r="H14" s="4"/>
    </row>
    <row r="15" spans="1:8" x14ac:dyDescent="0.3">
      <c r="A15" s="4">
        <v>11</v>
      </c>
      <c r="B15" s="5" t="s">
        <v>36</v>
      </c>
      <c r="C15" s="5" t="s">
        <v>37</v>
      </c>
      <c r="D15" s="9" t="s">
        <v>32</v>
      </c>
      <c r="E15" s="4">
        <v>3</v>
      </c>
      <c r="F15" s="5" t="s">
        <v>35</v>
      </c>
      <c r="G15" s="5"/>
      <c r="H15" s="4"/>
    </row>
    <row r="16" spans="1:8" x14ac:dyDescent="0.3">
      <c r="A16" s="4">
        <v>12</v>
      </c>
      <c r="B16" s="5" t="s">
        <v>38</v>
      </c>
      <c r="C16" s="5" t="s">
        <v>39</v>
      </c>
      <c r="D16" s="9" t="s">
        <v>32</v>
      </c>
      <c r="E16" s="4">
        <v>3</v>
      </c>
      <c r="F16" s="5" t="s">
        <v>35</v>
      </c>
      <c r="G16" s="5"/>
      <c r="H16" s="4"/>
    </row>
    <row r="17" spans="1:8" x14ac:dyDescent="0.3">
      <c r="A17" s="4">
        <v>13</v>
      </c>
      <c r="B17" s="5" t="s">
        <v>38</v>
      </c>
      <c r="C17" s="5" t="s">
        <v>40</v>
      </c>
      <c r="D17" s="6" t="s">
        <v>12</v>
      </c>
      <c r="E17" s="4"/>
      <c r="F17" s="5"/>
      <c r="G17" s="5" t="s">
        <v>41</v>
      </c>
      <c r="H17" s="4"/>
    </row>
    <row r="18" spans="1:8" x14ac:dyDescent="0.3">
      <c r="A18" s="4">
        <v>14</v>
      </c>
      <c r="B18" s="5" t="s">
        <v>42</v>
      </c>
      <c r="C18" s="5" t="s">
        <v>43</v>
      </c>
      <c r="D18" s="6" t="s">
        <v>12</v>
      </c>
      <c r="E18" s="4"/>
      <c r="F18" s="5"/>
      <c r="G18" s="5" t="s">
        <v>44</v>
      </c>
      <c r="H18" s="4"/>
    </row>
    <row r="19" spans="1:8" x14ac:dyDescent="0.3">
      <c r="A19" s="4">
        <v>15</v>
      </c>
      <c r="B19" s="5" t="s">
        <v>45</v>
      </c>
      <c r="C19" s="5" t="s">
        <v>46</v>
      </c>
      <c r="D19" s="9" t="s">
        <v>32</v>
      </c>
      <c r="E19" s="4">
        <v>3</v>
      </c>
      <c r="F19" s="5"/>
      <c r="G19" s="5"/>
      <c r="H19" s="4"/>
    </row>
    <row r="20" spans="1:8" x14ac:dyDescent="0.3">
      <c r="A20" s="4">
        <v>16</v>
      </c>
      <c r="B20" s="5" t="s">
        <v>47</v>
      </c>
      <c r="C20" s="5" t="s">
        <v>48</v>
      </c>
      <c r="D20" s="9" t="s">
        <v>32</v>
      </c>
      <c r="E20" s="4">
        <v>3</v>
      </c>
      <c r="F20" s="5" t="s">
        <v>35</v>
      </c>
      <c r="G20" s="5"/>
      <c r="H20" s="4"/>
    </row>
    <row r="21" spans="1:8" x14ac:dyDescent="0.3">
      <c r="A21" s="4">
        <v>17</v>
      </c>
      <c r="B21" s="5" t="s">
        <v>49</v>
      </c>
      <c r="C21" s="5" t="s">
        <v>50</v>
      </c>
      <c r="D21" s="7" t="s">
        <v>18</v>
      </c>
      <c r="E21" s="4"/>
      <c r="F21" s="5"/>
      <c r="G21" s="5"/>
      <c r="H21" s="4">
        <v>11</v>
      </c>
    </row>
    <row r="22" spans="1:8" x14ac:dyDescent="0.3">
      <c r="A22" s="4">
        <v>18</v>
      </c>
      <c r="B22" s="5" t="s">
        <v>51</v>
      </c>
      <c r="C22" s="5" t="s">
        <v>52</v>
      </c>
      <c r="D22" s="7" t="s">
        <v>18</v>
      </c>
      <c r="E22" s="4"/>
      <c r="F22" s="5"/>
      <c r="G22" s="5"/>
      <c r="H22" s="4">
        <v>11</v>
      </c>
    </row>
    <row r="23" spans="1:8" x14ac:dyDescent="0.3">
      <c r="A23" s="4">
        <v>19</v>
      </c>
      <c r="B23" s="5" t="s">
        <v>53</v>
      </c>
      <c r="C23" s="5" t="s">
        <v>54</v>
      </c>
      <c r="D23" s="7" t="s">
        <v>18</v>
      </c>
      <c r="E23" s="4"/>
      <c r="F23" s="5"/>
      <c r="G23" s="5"/>
      <c r="H23" s="4">
        <v>11</v>
      </c>
    </row>
    <row r="24" spans="1:8" x14ac:dyDescent="0.3">
      <c r="A24" s="4">
        <v>20</v>
      </c>
      <c r="B24" s="5" t="s">
        <v>53</v>
      </c>
      <c r="C24" s="5" t="s">
        <v>55</v>
      </c>
      <c r="D24" s="7" t="s">
        <v>18</v>
      </c>
      <c r="E24" s="4"/>
      <c r="F24" s="5"/>
      <c r="G24" s="5"/>
      <c r="H24" s="4">
        <v>11</v>
      </c>
    </row>
    <row r="25" spans="1:8" x14ac:dyDescent="0.3">
      <c r="A25" s="4">
        <v>21</v>
      </c>
      <c r="B25" s="5" t="s">
        <v>56</v>
      </c>
      <c r="C25" s="5" t="s">
        <v>57</v>
      </c>
      <c r="D25" s="7" t="s">
        <v>18</v>
      </c>
      <c r="E25" s="4"/>
      <c r="F25" s="5"/>
      <c r="G25" s="5"/>
      <c r="H25" s="4">
        <v>12</v>
      </c>
    </row>
    <row r="26" spans="1:8" x14ac:dyDescent="0.3">
      <c r="A26" s="4">
        <v>22</v>
      </c>
      <c r="B26" s="5" t="s">
        <v>58</v>
      </c>
      <c r="C26" s="5" t="s">
        <v>59</v>
      </c>
      <c r="D26" s="7" t="s">
        <v>18</v>
      </c>
      <c r="E26" s="4"/>
      <c r="F26" s="5"/>
      <c r="G26" s="8" t="s">
        <v>60</v>
      </c>
      <c r="H26" s="4">
        <v>12</v>
      </c>
    </row>
    <row r="27" spans="1:8" x14ac:dyDescent="0.3">
      <c r="A27" s="4">
        <v>23</v>
      </c>
      <c r="B27" s="5" t="s">
        <v>61</v>
      </c>
      <c r="C27" s="5" t="s">
        <v>62</v>
      </c>
      <c r="D27" s="6" t="s">
        <v>12</v>
      </c>
      <c r="E27" s="4"/>
      <c r="F27" s="5"/>
      <c r="G27" s="5" t="s">
        <v>63</v>
      </c>
      <c r="H27" s="4"/>
    </row>
    <row r="28" spans="1:8" x14ac:dyDescent="0.3">
      <c r="A28" s="4">
        <v>24</v>
      </c>
      <c r="B28" s="5" t="s">
        <v>64</v>
      </c>
      <c r="C28" s="5" t="s">
        <v>65</v>
      </c>
      <c r="D28" s="9" t="s">
        <v>32</v>
      </c>
      <c r="E28" s="4">
        <v>3</v>
      </c>
      <c r="F28" s="5" t="s">
        <v>35</v>
      </c>
      <c r="G28" s="5"/>
      <c r="H28" s="4"/>
    </row>
    <row r="29" spans="1:8" x14ac:dyDescent="0.3">
      <c r="A29" s="4">
        <v>25</v>
      </c>
      <c r="B29" s="5" t="s">
        <v>64</v>
      </c>
      <c r="C29" s="5" t="s">
        <v>66</v>
      </c>
      <c r="D29" s="9" t="s">
        <v>32</v>
      </c>
      <c r="E29" s="4">
        <v>2</v>
      </c>
      <c r="F29" s="5" t="s">
        <v>35</v>
      </c>
      <c r="G29" s="5"/>
      <c r="H29" s="4"/>
    </row>
    <row r="31" spans="1:8" x14ac:dyDescent="0.3">
      <c r="A31" s="10" t="s">
        <v>67</v>
      </c>
      <c r="B31" s="11" t="s">
        <v>68</v>
      </c>
      <c r="C31" s="12">
        <f>COUNTIF(D5:D29,"比賽")</f>
        <v>8</v>
      </c>
    </row>
    <row r="32" spans="1:8" x14ac:dyDescent="0.3">
      <c r="B32" s="11" t="s">
        <v>69</v>
      </c>
      <c r="C32" s="12">
        <f>COUNTIF(D5:D29,"練習")</f>
        <v>11</v>
      </c>
    </row>
    <row r="33" spans="2:3" x14ac:dyDescent="0.3">
      <c r="B33" s="11" t="s">
        <v>70</v>
      </c>
      <c r="C33" s="12">
        <f>COUNTIF(D5:D29,"過場")</f>
        <v>6</v>
      </c>
    </row>
    <row r="34" spans="2:3" x14ac:dyDescent="0.3">
      <c r="B34" s="11" t="s">
        <v>71</v>
      </c>
      <c r="C34" s="11">
        <f>SUMIF(D5:D29,"比賽",E5:E29)</f>
        <v>23</v>
      </c>
    </row>
    <row r="35" spans="2:3" x14ac:dyDescent="0.3">
      <c r="B35" s="11" t="s">
        <v>72</v>
      </c>
      <c r="C35" s="11">
        <f>SUMIF(D5:D29,"練習",E5:E29)</f>
        <v>3</v>
      </c>
    </row>
    <row r="36" spans="2:3" x14ac:dyDescent="0.3">
      <c r="B36" s="11" t="s">
        <v>73</v>
      </c>
      <c r="C36" s="11">
        <f>COUNT(A5:A29)</f>
        <v>25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5" customWidth="1"/>
    <col min="2" max="2" width="8" customWidth="1"/>
    <col min="3" max="3" width="32" customWidth="1"/>
    <col min="4" max="4" width="7" customWidth="1"/>
    <col min="5" max="17" width="8" customWidth="1"/>
  </cols>
  <sheetData>
    <row r="1" spans="1:17" ht="16.5" x14ac:dyDescent="0.35">
      <c r="A1" s="1" t="s">
        <v>74</v>
      </c>
    </row>
    <row r="2" spans="1:17" x14ac:dyDescent="0.3">
      <c r="A2" s="2" t="s">
        <v>75</v>
      </c>
    </row>
    <row r="4" spans="1:17" ht="46" customHeight="1" x14ac:dyDescent="0.3">
      <c r="A4" s="13" t="s">
        <v>2</v>
      </c>
      <c r="B4" s="13" t="s">
        <v>3</v>
      </c>
      <c r="C4" s="13" t="s">
        <v>4</v>
      </c>
      <c r="D4" s="13" t="s">
        <v>5</v>
      </c>
      <c r="E4" s="13" t="s">
        <v>76</v>
      </c>
      <c r="F4" s="13" t="s">
        <v>77</v>
      </c>
      <c r="G4" s="13" t="s">
        <v>78</v>
      </c>
      <c r="H4" s="13" t="s">
        <v>79</v>
      </c>
      <c r="I4" s="13" t="s">
        <v>80</v>
      </c>
      <c r="J4" s="13" t="s">
        <v>81</v>
      </c>
      <c r="K4" s="13" t="s">
        <v>82</v>
      </c>
      <c r="L4" s="13" t="s">
        <v>83</v>
      </c>
      <c r="M4" s="13" t="s">
        <v>84</v>
      </c>
      <c r="N4" s="13" t="s">
        <v>85</v>
      </c>
      <c r="O4" s="13" t="s">
        <v>86</v>
      </c>
      <c r="P4" s="13" t="s">
        <v>87</v>
      </c>
      <c r="Q4" s="13" t="s">
        <v>88</v>
      </c>
    </row>
    <row r="5" spans="1:17" x14ac:dyDescent="0.3">
      <c r="A5" s="4">
        <v>1</v>
      </c>
      <c r="B5" s="5" t="s">
        <v>10</v>
      </c>
      <c r="C5" s="5" t="s">
        <v>11</v>
      </c>
      <c r="D5" s="6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4">
        <f t="shared" ref="Q5:Q29" si="0">COUNTIF(E5:P5,"○")</f>
        <v>0</v>
      </c>
    </row>
    <row r="6" spans="1:17" x14ac:dyDescent="0.3">
      <c r="A6" s="4">
        <v>2</v>
      </c>
      <c r="B6" s="5" t="s">
        <v>13</v>
      </c>
      <c r="C6" s="5" t="s">
        <v>14</v>
      </c>
      <c r="D6" s="6" t="s">
        <v>12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4">
        <f t="shared" si="0"/>
        <v>0</v>
      </c>
    </row>
    <row r="7" spans="1:17" x14ac:dyDescent="0.3">
      <c r="A7" s="4">
        <v>3</v>
      </c>
      <c r="B7" s="5" t="s">
        <v>16</v>
      </c>
      <c r="C7" s="5" t="s">
        <v>17</v>
      </c>
      <c r="D7" s="7" t="s">
        <v>18</v>
      </c>
      <c r="E7" s="15" t="s">
        <v>89</v>
      </c>
      <c r="F7" s="15" t="s">
        <v>89</v>
      </c>
      <c r="G7" s="15" t="s">
        <v>89</v>
      </c>
      <c r="H7" s="15" t="s">
        <v>89</v>
      </c>
      <c r="I7" s="15" t="s">
        <v>89</v>
      </c>
      <c r="J7" s="15" t="s">
        <v>89</v>
      </c>
      <c r="K7" s="15" t="s">
        <v>89</v>
      </c>
      <c r="L7" s="15" t="s">
        <v>89</v>
      </c>
      <c r="M7" s="15" t="s">
        <v>89</v>
      </c>
      <c r="N7" s="15" t="s">
        <v>89</v>
      </c>
      <c r="O7" s="4"/>
      <c r="P7" s="4"/>
      <c r="Q7" s="14">
        <f t="shared" si="0"/>
        <v>10</v>
      </c>
    </row>
    <row r="8" spans="1:17" x14ac:dyDescent="0.3">
      <c r="A8" s="4">
        <v>4</v>
      </c>
      <c r="B8" s="5" t="s">
        <v>20</v>
      </c>
      <c r="C8" s="5" t="s">
        <v>21</v>
      </c>
      <c r="D8" s="7" t="s">
        <v>18</v>
      </c>
      <c r="E8" s="15" t="s">
        <v>89</v>
      </c>
      <c r="F8" s="15" t="s">
        <v>89</v>
      </c>
      <c r="G8" s="15" t="s">
        <v>89</v>
      </c>
      <c r="H8" s="15" t="s">
        <v>89</v>
      </c>
      <c r="I8" s="15" t="s">
        <v>89</v>
      </c>
      <c r="J8" s="15" t="s">
        <v>89</v>
      </c>
      <c r="K8" s="15" t="s">
        <v>89</v>
      </c>
      <c r="L8" s="15" t="s">
        <v>89</v>
      </c>
      <c r="M8" s="15" t="s">
        <v>89</v>
      </c>
      <c r="N8" s="15" t="s">
        <v>89</v>
      </c>
      <c r="O8" s="4"/>
      <c r="P8" s="4"/>
      <c r="Q8" s="14">
        <f t="shared" si="0"/>
        <v>10</v>
      </c>
    </row>
    <row r="9" spans="1:17" x14ac:dyDescent="0.3">
      <c r="A9" s="4">
        <v>5</v>
      </c>
      <c r="B9" s="5" t="s">
        <v>22</v>
      </c>
      <c r="C9" s="5" t="s">
        <v>23</v>
      </c>
      <c r="D9" s="7" t="s">
        <v>18</v>
      </c>
      <c r="E9" s="15" t="s">
        <v>89</v>
      </c>
      <c r="F9" s="15" t="s">
        <v>89</v>
      </c>
      <c r="G9" s="15" t="s">
        <v>89</v>
      </c>
      <c r="H9" s="15" t="s">
        <v>89</v>
      </c>
      <c r="I9" s="15" t="s">
        <v>89</v>
      </c>
      <c r="J9" s="15" t="s">
        <v>89</v>
      </c>
      <c r="K9" s="15" t="s">
        <v>89</v>
      </c>
      <c r="L9" s="15" t="s">
        <v>89</v>
      </c>
      <c r="M9" s="15" t="s">
        <v>89</v>
      </c>
      <c r="N9" s="15" t="s">
        <v>89</v>
      </c>
      <c r="O9" s="4"/>
      <c r="P9" s="4"/>
      <c r="Q9" s="14">
        <f t="shared" si="0"/>
        <v>10</v>
      </c>
    </row>
    <row r="10" spans="1:17" x14ac:dyDescent="0.3">
      <c r="A10" s="4">
        <v>6</v>
      </c>
      <c r="B10" s="5" t="s">
        <v>24</v>
      </c>
      <c r="C10" s="5" t="s">
        <v>25</v>
      </c>
      <c r="D10" s="7" t="s">
        <v>18</v>
      </c>
      <c r="E10" s="15" t="s">
        <v>89</v>
      </c>
      <c r="F10" s="15" t="s">
        <v>89</v>
      </c>
      <c r="G10" s="15" t="s">
        <v>89</v>
      </c>
      <c r="H10" s="15" t="s">
        <v>89</v>
      </c>
      <c r="I10" s="15" t="s">
        <v>89</v>
      </c>
      <c r="J10" s="15" t="s">
        <v>89</v>
      </c>
      <c r="K10" s="15" t="s">
        <v>89</v>
      </c>
      <c r="L10" s="15" t="s">
        <v>89</v>
      </c>
      <c r="M10" s="15" t="s">
        <v>89</v>
      </c>
      <c r="N10" s="15" t="s">
        <v>89</v>
      </c>
      <c r="O10" s="4"/>
      <c r="P10" s="15" t="s">
        <v>89</v>
      </c>
      <c r="Q10" s="14">
        <f t="shared" si="0"/>
        <v>11</v>
      </c>
    </row>
    <row r="11" spans="1:17" x14ac:dyDescent="0.3">
      <c r="A11" s="4">
        <v>7</v>
      </c>
      <c r="B11" s="5" t="s">
        <v>26</v>
      </c>
      <c r="C11" s="5" t="s">
        <v>27</v>
      </c>
      <c r="D11" s="6" t="s">
        <v>12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4">
        <f t="shared" si="0"/>
        <v>0</v>
      </c>
    </row>
    <row r="12" spans="1:17" x14ac:dyDescent="0.3">
      <c r="A12" s="4">
        <v>8</v>
      </c>
      <c r="B12" s="5" t="s">
        <v>26</v>
      </c>
      <c r="C12" s="5" t="s">
        <v>29</v>
      </c>
      <c r="D12" s="7" t="s">
        <v>18</v>
      </c>
      <c r="E12" s="15" t="s">
        <v>89</v>
      </c>
      <c r="F12" s="15" t="s">
        <v>89</v>
      </c>
      <c r="G12" s="15" t="s">
        <v>89</v>
      </c>
      <c r="H12" s="15" t="s">
        <v>89</v>
      </c>
      <c r="I12" s="15" t="s">
        <v>89</v>
      </c>
      <c r="J12" s="15" t="s">
        <v>89</v>
      </c>
      <c r="K12" s="15" t="s">
        <v>89</v>
      </c>
      <c r="L12" s="15" t="s">
        <v>89</v>
      </c>
      <c r="M12" s="15" t="s">
        <v>89</v>
      </c>
      <c r="N12" s="15" t="s">
        <v>89</v>
      </c>
      <c r="O12" s="4"/>
      <c r="P12" s="15" t="s">
        <v>89</v>
      </c>
      <c r="Q12" s="14">
        <f t="shared" si="0"/>
        <v>11</v>
      </c>
    </row>
    <row r="13" spans="1:17" x14ac:dyDescent="0.3">
      <c r="A13" s="4">
        <v>9</v>
      </c>
      <c r="B13" s="5" t="s">
        <v>30</v>
      </c>
      <c r="C13" s="5" t="s">
        <v>31</v>
      </c>
      <c r="D13" s="9" t="s">
        <v>32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4">
        <f t="shared" si="0"/>
        <v>0</v>
      </c>
    </row>
    <row r="14" spans="1:17" x14ac:dyDescent="0.3">
      <c r="A14" s="4">
        <v>10</v>
      </c>
      <c r="B14" s="5" t="s">
        <v>33</v>
      </c>
      <c r="C14" s="5" t="s">
        <v>34</v>
      </c>
      <c r="D14" s="9" t="s">
        <v>32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4">
        <f t="shared" si="0"/>
        <v>0</v>
      </c>
    </row>
    <row r="15" spans="1:17" x14ac:dyDescent="0.3">
      <c r="A15" s="4">
        <v>11</v>
      </c>
      <c r="B15" s="5" t="s">
        <v>36</v>
      </c>
      <c r="C15" s="5" t="s">
        <v>37</v>
      </c>
      <c r="D15" s="9" t="s">
        <v>32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4">
        <f t="shared" si="0"/>
        <v>0</v>
      </c>
    </row>
    <row r="16" spans="1:17" x14ac:dyDescent="0.3">
      <c r="A16" s="4">
        <v>12</v>
      </c>
      <c r="B16" s="5" t="s">
        <v>38</v>
      </c>
      <c r="C16" s="5" t="s">
        <v>39</v>
      </c>
      <c r="D16" s="9" t="s">
        <v>32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4">
        <f t="shared" si="0"/>
        <v>0</v>
      </c>
    </row>
    <row r="17" spans="1:17" x14ac:dyDescent="0.3">
      <c r="A17" s="4">
        <v>13</v>
      </c>
      <c r="B17" s="5" t="s">
        <v>38</v>
      </c>
      <c r="C17" s="5" t="s">
        <v>40</v>
      </c>
      <c r="D17" s="6" t="s">
        <v>12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4">
        <f t="shared" si="0"/>
        <v>0</v>
      </c>
    </row>
    <row r="18" spans="1:17" x14ac:dyDescent="0.3">
      <c r="A18" s="4">
        <v>14</v>
      </c>
      <c r="B18" s="5" t="s">
        <v>42</v>
      </c>
      <c r="C18" s="5" t="s">
        <v>43</v>
      </c>
      <c r="D18" s="6" t="s">
        <v>12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4">
        <f t="shared" si="0"/>
        <v>0</v>
      </c>
    </row>
    <row r="19" spans="1:17" x14ac:dyDescent="0.3">
      <c r="A19" s="4">
        <v>15</v>
      </c>
      <c r="B19" s="5" t="s">
        <v>45</v>
      </c>
      <c r="C19" s="5" t="s">
        <v>46</v>
      </c>
      <c r="D19" s="9" t="s">
        <v>32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4">
        <f t="shared" si="0"/>
        <v>0</v>
      </c>
    </row>
    <row r="20" spans="1:17" x14ac:dyDescent="0.3">
      <c r="A20" s="4">
        <v>16</v>
      </c>
      <c r="B20" s="5" t="s">
        <v>47</v>
      </c>
      <c r="C20" s="5" t="s">
        <v>48</v>
      </c>
      <c r="D20" s="9" t="s">
        <v>32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4">
        <f t="shared" si="0"/>
        <v>0</v>
      </c>
    </row>
    <row r="21" spans="1:17" x14ac:dyDescent="0.3">
      <c r="A21" s="4">
        <v>17</v>
      </c>
      <c r="B21" s="5" t="s">
        <v>49</v>
      </c>
      <c r="C21" s="5" t="s">
        <v>50</v>
      </c>
      <c r="D21" s="7" t="s">
        <v>18</v>
      </c>
      <c r="E21" s="15" t="s">
        <v>89</v>
      </c>
      <c r="F21" s="15" t="s">
        <v>89</v>
      </c>
      <c r="G21" s="15" t="s">
        <v>89</v>
      </c>
      <c r="H21" s="15" t="s">
        <v>89</v>
      </c>
      <c r="I21" s="15" t="s">
        <v>89</v>
      </c>
      <c r="J21" s="15" t="s">
        <v>89</v>
      </c>
      <c r="K21" s="15" t="s">
        <v>89</v>
      </c>
      <c r="L21" s="15" t="s">
        <v>89</v>
      </c>
      <c r="M21" s="15" t="s">
        <v>89</v>
      </c>
      <c r="N21" s="15" t="s">
        <v>89</v>
      </c>
      <c r="O21" s="15" t="s">
        <v>89</v>
      </c>
      <c r="P21" s="4"/>
      <c r="Q21" s="14">
        <f t="shared" si="0"/>
        <v>11</v>
      </c>
    </row>
    <row r="22" spans="1:17" x14ac:dyDescent="0.3">
      <c r="A22" s="4">
        <v>18</v>
      </c>
      <c r="B22" s="5" t="s">
        <v>51</v>
      </c>
      <c r="C22" s="5" t="s">
        <v>52</v>
      </c>
      <c r="D22" s="7" t="s">
        <v>18</v>
      </c>
      <c r="E22" s="15" t="s">
        <v>89</v>
      </c>
      <c r="F22" s="15" t="s">
        <v>89</v>
      </c>
      <c r="G22" s="15" t="s">
        <v>89</v>
      </c>
      <c r="H22" s="15" t="s">
        <v>89</v>
      </c>
      <c r="I22" s="15" t="s">
        <v>89</v>
      </c>
      <c r="J22" s="15" t="s">
        <v>89</v>
      </c>
      <c r="K22" s="15" t="s">
        <v>89</v>
      </c>
      <c r="L22" s="15" t="s">
        <v>89</v>
      </c>
      <c r="M22" s="15" t="s">
        <v>89</v>
      </c>
      <c r="N22" s="15" t="s">
        <v>89</v>
      </c>
      <c r="O22" s="15" t="s">
        <v>89</v>
      </c>
      <c r="P22" s="4"/>
      <c r="Q22" s="14">
        <f t="shared" si="0"/>
        <v>11</v>
      </c>
    </row>
    <row r="23" spans="1:17" x14ac:dyDescent="0.3">
      <c r="A23" s="4">
        <v>19</v>
      </c>
      <c r="B23" s="5" t="s">
        <v>53</v>
      </c>
      <c r="C23" s="5" t="s">
        <v>54</v>
      </c>
      <c r="D23" s="7" t="s">
        <v>18</v>
      </c>
      <c r="E23" s="15" t="s">
        <v>89</v>
      </c>
      <c r="F23" s="15" t="s">
        <v>89</v>
      </c>
      <c r="G23" s="15" t="s">
        <v>89</v>
      </c>
      <c r="H23" s="15" t="s">
        <v>89</v>
      </c>
      <c r="I23" s="15" t="s">
        <v>89</v>
      </c>
      <c r="J23" s="15" t="s">
        <v>89</v>
      </c>
      <c r="K23" s="15" t="s">
        <v>89</v>
      </c>
      <c r="L23" s="15" t="s">
        <v>89</v>
      </c>
      <c r="M23" s="15" t="s">
        <v>89</v>
      </c>
      <c r="N23" s="15" t="s">
        <v>89</v>
      </c>
      <c r="O23" s="15" t="s">
        <v>89</v>
      </c>
      <c r="P23" s="4"/>
      <c r="Q23" s="14">
        <f t="shared" si="0"/>
        <v>11</v>
      </c>
    </row>
    <row r="24" spans="1:17" x14ac:dyDescent="0.3">
      <c r="A24" s="4">
        <v>20</v>
      </c>
      <c r="B24" s="5" t="s">
        <v>53</v>
      </c>
      <c r="C24" s="5" t="s">
        <v>55</v>
      </c>
      <c r="D24" s="7" t="s">
        <v>18</v>
      </c>
      <c r="E24" s="15" t="s">
        <v>89</v>
      </c>
      <c r="F24" s="15" t="s">
        <v>89</v>
      </c>
      <c r="G24" s="15" t="s">
        <v>89</v>
      </c>
      <c r="H24" s="15" t="s">
        <v>89</v>
      </c>
      <c r="I24" s="15" t="s">
        <v>89</v>
      </c>
      <c r="J24" s="15" t="s">
        <v>89</v>
      </c>
      <c r="K24" s="15" t="s">
        <v>89</v>
      </c>
      <c r="L24" s="15" t="s">
        <v>89</v>
      </c>
      <c r="M24" s="15" t="s">
        <v>89</v>
      </c>
      <c r="N24" s="15" t="s">
        <v>89</v>
      </c>
      <c r="O24" s="15" t="s">
        <v>89</v>
      </c>
      <c r="P24" s="4"/>
      <c r="Q24" s="14">
        <f t="shared" si="0"/>
        <v>11</v>
      </c>
    </row>
    <row r="25" spans="1:17" x14ac:dyDescent="0.3">
      <c r="A25" s="4">
        <v>21</v>
      </c>
      <c r="B25" s="5" t="s">
        <v>56</v>
      </c>
      <c r="C25" s="5" t="s">
        <v>57</v>
      </c>
      <c r="D25" s="7" t="s">
        <v>18</v>
      </c>
      <c r="E25" s="15" t="s">
        <v>89</v>
      </c>
      <c r="F25" s="15" t="s">
        <v>89</v>
      </c>
      <c r="G25" s="15" t="s">
        <v>89</v>
      </c>
      <c r="H25" s="15" t="s">
        <v>89</v>
      </c>
      <c r="I25" s="15" t="s">
        <v>89</v>
      </c>
      <c r="J25" s="15" t="s">
        <v>89</v>
      </c>
      <c r="K25" s="15" t="s">
        <v>89</v>
      </c>
      <c r="L25" s="15" t="s">
        <v>89</v>
      </c>
      <c r="M25" s="15" t="s">
        <v>89</v>
      </c>
      <c r="N25" s="15" t="s">
        <v>89</v>
      </c>
      <c r="O25" s="15" t="s">
        <v>89</v>
      </c>
      <c r="P25" s="15" t="s">
        <v>89</v>
      </c>
      <c r="Q25" s="14">
        <f t="shared" si="0"/>
        <v>12</v>
      </c>
    </row>
    <row r="26" spans="1:17" x14ac:dyDescent="0.3">
      <c r="A26" s="4">
        <v>22</v>
      </c>
      <c r="B26" s="5" t="s">
        <v>58</v>
      </c>
      <c r="C26" s="5" t="s">
        <v>59</v>
      </c>
      <c r="D26" s="7" t="s">
        <v>18</v>
      </c>
      <c r="E26" s="15" t="s">
        <v>89</v>
      </c>
      <c r="F26" s="15" t="s">
        <v>89</v>
      </c>
      <c r="G26" s="15" t="s">
        <v>89</v>
      </c>
      <c r="H26" s="15" t="s">
        <v>89</v>
      </c>
      <c r="I26" s="15" t="s">
        <v>89</v>
      </c>
      <c r="J26" s="15" t="s">
        <v>89</v>
      </c>
      <c r="K26" s="15" t="s">
        <v>89</v>
      </c>
      <c r="L26" s="15" t="s">
        <v>89</v>
      </c>
      <c r="M26" s="15" t="s">
        <v>89</v>
      </c>
      <c r="N26" s="15" t="s">
        <v>89</v>
      </c>
      <c r="O26" s="15" t="s">
        <v>89</v>
      </c>
      <c r="P26" s="15" t="s">
        <v>89</v>
      </c>
      <c r="Q26" s="14">
        <f t="shared" si="0"/>
        <v>12</v>
      </c>
    </row>
    <row r="27" spans="1:17" x14ac:dyDescent="0.3">
      <c r="A27" s="4">
        <v>23</v>
      </c>
      <c r="B27" s="5" t="s">
        <v>61</v>
      </c>
      <c r="C27" s="5" t="s">
        <v>62</v>
      </c>
      <c r="D27" s="6" t="s">
        <v>12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4">
        <f t="shared" si="0"/>
        <v>0</v>
      </c>
    </row>
    <row r="28" spans="1:17" x14ac:dyDescent="0.3">
      <c r="A28" s="4">
        <v>24</v>
      </c>
      <c r="B28" s="5" t="s">
        <v>64</v>
      </c>
      <c r="C28" s="5" t="s">
        <v>65</v>
      </c>
      <c r="D28" s="9" t="s">
        <v>32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14">
        <f t="shared" si="0"/>
        <v>0</v>
      </c>
    </row>
    <row r="29" spans="1:17" x14ac:dyDescent="0.3">
      <c r="A29" s="4">
        <v>25</v>
      </c>
      <c r="B29" s="5" t="s">
        <v>64</v>
      </c>
      <c r="C29" s="5" t="s">
        <v>66</v>
      </c>
      <c r="D29" s="9" t="s">
        <v>32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4">
        <f t="shared" si="0"/>
        <v>0</v>
      </c>
    </row>
    <row r="30" spans="1:17" x14ac:dyDescent="0.3">
      <c r="C30" s="16" t="s">
        <v>90</v>
      </c>
      <c r="E30" s="17">
        <f t="shared" ref="E30:P30" si="1">COUNTIF(E5:E29,"○")</f>
        <v>11</v>
      </c>
      <c r="F30" s="17">
        <f t="shared" si="1"/>
        <v>11</v>
      </c>
      <c r="G30" s="17">
        <f t="shared" si="1"/>
        <v>11</v>
      </c>
      <c r="H30" s="17">
        <f t="shared" si="1"/>
        <v>11</v>
      </c>
      <c r="I30" s="17">
        <f t="shared" si="1"/>
        <v>11</v>
      </c>
      <c r="J30" s="17">
        <f t="shared" si="1"/>
        <v>11</v>
      </c>
      <c r="K30" s="17">
        <f t="shared" si="1"/>
        <v>11</v>
      </c>
      <c r="L30" s="17">
        <f t="shared" si="1"/>
        <v>11</v>
      </c>
      <c r="M30" s="17">
        <f t="shared" si="1"/>
        <v>11</v>
      </c>
      <c r="N30" s="17">
        <f t="shared" si="1"/>
        <v>11</v>
      </c>
      <c r="O30" s="17">
        <f t="shared" si="1"/>
        <v>6</v>
      </c>
      <c r="P30" s="17">
        <f t="shared" si="1"/>
        <v>4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"/>
  <cols>
    <col min="1" max="1" width="16" customWidth="1"/>
    <col min="2" max="2" width="10" customWidth="1"/>
    <col min="3" max="3" width="62" customWidth="1"/>
    <col min="4" max="4" width="14" customWidth="1"/>
  </cols>
  <sheetData>
    <row r="1" spans="1:4" ht="16.5" x14ac:dyDescent="0.35">
      <c r="A1" s="1" t="s">
        <v>91</v>
      </c>
    </row>
    <row r="2" spans="1:4" x14ac:dyDescent="0.3">
      <c r="A2" s="2" t="s">
        <v>92</v>
      </c>
    </row>
    <row r="4" spans="1:4" x14ac:dyDescent="0.3">
      <c r="A4" s="3" t="s">
        <v>93</v>
      </c>
      <c r="B4" s="3" t="s">
        <v>94</v>
      </c>
      <c r="C4" s="3" t="s">
        <v>95</v>
      </c>
      <c r="D4" s="3" t="s">
        <v>96</v>
      </c>
    </row>
    <row r="5" spans="1:4" x14ac:dyDescent="0.3">
      <c r="A5" s="14" t="s">
        <v>76</v>
      </c>
      <c r="B5" s="18" t="s">
        <v>97</v>
      </c>
      <c r="C5" s="19" t="s">
        <v>98</v>
      </c>
      <c r="D5" s="4">
        <f>每週可做的行動!E30</f>
        <v>11</v>
      </c>
    </row>
    <row r="6" spans="1:4" x14ac:dyDescent="0.3">
      <c r="A6" s="14" t="s">
        <v>77</v>
      </c>
      <c r="B6" s="18" t="s">
        <v>97</v>
      </c>
      <c r="C6" s="19" t="s">
        <v>99</v>
      </c>
      <c r="D6" s="4">
        <f>每週可做的行動!F30</f>
        <v>11</v>
      </c>
    </row>
    <row r="7" spans="1:4" x14ac:dyDescent="0.3">
      <c r="A7" s="14" t="s">
        <v>78</v>
      </c>
      <c r="B7" s="18" t="s">
        <v>97</v>
      </c>
      <c r="C7" s="19" t="s">
        <v>100</v>
      </c>
      <c r="D7" s="4">
        <f>每週可做的行動!G30</f>
        <v>11</v>
      </c>
    </row>
    <row r="8" spans="1:4" x14ac:dyDescent="0.3">
      <c r="A8" s="14" t="s">
        <v>79</v>
      </c>
      <c r="B8" s="18" t="s">
        <v>97</v>
      </c>
      <c r="C8" s="19" t="s">
        <v>101</v>
      </c>
      <c r="D8" s="4">
        <f>每週可做的行動!H30</f>
        <v>11</v>
      </c>
    </row>
    <row r="9" spans="1:4" x14ac:dyDescent="0.3">
      <c r="A9" s="14" t="s">
        <v>80</v>
      </c>
      <c r="B9" s="18" t="s">
        <v>97</v>
      </c>
      <c r="C9" s="19" t="s">
        <v>102</v>
      </c>
      <c r="D9" s="4">
        <f>每週可做的行動!I30</f>
        <v>11</v>
      </c>
    </row>
    <row r="10" spans="1:4" x14ac:dyDescent="0.3">
      <c r="A10" s="14" t="s">
        <v>81</v>
      </c>
      <c r="B10" s="18" t="s">
        <v>97</v>
      </c>
      <c r="C10" s="19" t="s">
        <v>103</v>
      </c>
      <c r="D10" s="4">
        <f>每週可做的行動!J30</f>
        <v>11</v>
      </c>
    </row>
    <row r="11" spans="1:4" x14ac:dyDescent="0.3">
      <c r="A11" s="14" t="s">
        <v>82</v>
      </c>
      <c r="B11" s="18" t="s">
        <v>97</v>
      </c>
      <c r="C11" s="19" t="s">
        <v>104</v>
      </c>
      <c r="D11" s="4">
        <f>每週可做的行動!K30</f>
        <v>11</v>
      </c>
    </row>
    <row r="12" spans="1:4" x14ac:dyDescent="0.3">
      <c r="A12" s="14" t="s">
        <v>83</v>
      </c>
      <c r="B12" s="18" t="s">
        <v>97</v>
      </c>
      <c r="C12" s="19" t="s">
        <v>105</v>
      </c>
      <c r="D12" s="4">
        <f>每週可做的行動!L30</f>
        <v>11</v>
      </c>
    </row>
    <row r="13" spans="1:4" ht="25" x14ac:dyDescent="0.3">
      <c r="A13" s="14" t="s">
        <v>84</v>
      </c>
      <c r="B13" s="18" t="s">
        <v>106</v>
      </c>
      <c r="C13" s="19" t="s">
        <v>107</v>
      </c>
      <c r="D13" s="4">
        <f>每週可做的行動!M30</f>
        <v>11</v>
      </c>
    </row>
    <row r="14" spans="1:4" x14ac:dyDescent="0.3">
      <c r="A14" s="14" t="s">
        <v>85</v>
      </c>
      <c r="B14" s="18" t="s">
        <v>106</v>
      </c>
      <c r="C14" s="19" t="s">
        <v>108</v>
      </c>
      <c r="D14" s="4">
        <f>每週可做的行動!N30</f>
        <v>11</v>
      </c>
    </row>
    <row r="15" spans="1:4" x14ac:dyDescent="0.3">
      <c r="A15" s="14" t="s">
        <v>86</v>
      </c>
      <c r="B15" s="18" t="s">
        <v>109</v>
      </c>
      <c r="C15" s="19" t="s">
        <v>110</v>
      </c>
      <c r="D15" s="4">
        <f>每週可做的行動!O30</f>
        <v>6</v>
      </c>
    </row>
    <row r="16" spans="1:4" x14ac:dyDescent="0.3">
      <c r="A16" s="14" t="s">
        <v>87</v>
      </c>
      <c r="B16" s="18" t="s">
        <v>109</v>
      </c>
      <c r="C16" s="19" t="s">
        <v>111</v>
      </c>
      <c r="D16" s="4">
        <f>每週可做的行動!P30</f>
        <v>4</v>
      </c>
    </row>
    <row r="18" spans="1:1" x14ac:dyDescent="0.3">
      <c r="A18" s="10" t="s">
        <v>112</v>
      </c>
    </row>
    <row r="19" spans="1:1" x14ac:dyDescent="0.3">
      <c r="A19" s="20" t="s">
        <v>113</v>
      </c>
    </row>
    <row r="20" spans="1:1" x14ac:dyDescent="0.3">
      <c r="A20" s="20" t="s">
        <v>114</v>
      </c>
    </row>
    <row r="21" spans="1:1" x14ac:dyDescent="0.3">
      <c r="A21" s="20" t="s">
        <v>115</v>
      </c>
    </row>
    <row r="22" spans="1:1" x14ac:dyDescent="0.3">
      <c r="A22" s="20" t="s">
        <v>116</v>
      </c>
    </row>
    <row r="23" spans="1:1" x14ac:dyDescent="0.3">
      <c r="A23" s="20" t="s">
        <v>117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defaultRowHeight="14.5" x14ac:dyDescent="0.3"/>
  <cols>
    <col min="1" max="1" width="16" customWidth="1"/>
    <col min="2" max="12" width="8" customWidth="1"/>
  </cols>
  <sheetData>
    <row r="1" spans="1:12" ht="16.5" x14ac:dyDescent="0.35">
      <c r="A1" s="1" t="s">
        <v>118</v>
      </c>
    </row>
    <row r="2" spans="1:12" x14ac:dyDescent="0.3">
      <c r="A2" s="2" t="s">
        <v>119</v>
      </c>
    </row>
    <row r="4" spans="1:12" x14ac:dyDescent="0.3">
      <c r="A4" s="3" t="s">
        <v>97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</row>
    <row r="5" spans="1:12" x14ac:dyDescent="0.3">
      <c r="A5" s="21" t="s">
        <v>76</v>
      </c>
      <c r="B5" s="22">
        <v>1</v>
      </c>
      <c r="C5" s="22">
        <v>0.5</v>
      </c>
      <c r="D5" s="23"/>
      <c r="E5" s="23"/>
      <c r="F5" s="23"/>
      <c r="G5" s="23"/>
      <c r="H5" s="23"/>
      <c r="I5" s="23"/>
      <c r="J5" s="23"/>
      <c r="K5" s="23"/>
      <c r="L5" s="24">
        <f t="shared" ref="L5:L12" si="0">SUM(B5:K5)</f>
        <v>1.5</v>
      </c>
    </row>
    <row r="6" spans="1:12" x14ac:dyDescent="0.3">
      <c r="A6" s="21" t="s">
        <v>77</v>
      </c>
      <c r="B6" s="22">
        <v>0.35</v>
      </c>
      <c r="C6" s="22">
        <v>1</v>
      </c>
      <c r="D6" s="23"/>
      <c r="E6" s="23"/>
      <c r="F6" s="23"/>
      <c r="G6" s="23"/>
      <c r="H6" s="23"/>
      <c r="I6" s="23"/>
      <c r="J6" s="23"/>
      <c r="K6" s="23"/>
      <c r="L6" s="24">
        <f t="shared" si="0"/>
        <v>1.35</v>
      </c>
    </row>
    <row r="7" spans="1:12" x14ac:dyDescent="0.3">
      <c r="A7" s="21" t="s">
        <v>78</v>
      </c>
      <c r="B7" s="23"/>
      <c r="C7" s="23"/>
      <c r="D7" s="23"/>
      <c r="E7" s="23"/>
      <c r="F7" s="22">
        <v>1</v>
      </c>
      <c r="G7" s="22">
        <v>0.75</v>
      </c>
      <c r="H7" s="23"/>
      <c r="I7" s="23"/>
      <c r="J7" s="23"/>
      <c r="K7" s="23"/>
      <c r="L7" s="24">
        <f t="shared" si="0"/>
        <v>1.75</v>
      </c>
    </row>
    <row r="8" spans="1:12" x14ac:dyDescent="0.3">
      <c r="A8" s="21" t="s">
        <v>79</v>
      </c>
      <c r="B8" s="23"/>
      <c r="C8" s="23"/>
      <c r="D8" s="23"/>
      <c r="E8" s="22">
        <v>1</v>
      </c>
      <c r="F8" s="22">
        <v>0.35</v>
      </c>
      <c r="G8" s="23"/>
      <c r="H8" s="23"/>
      <c r="I8" s="23"/>
      <c r="J8" s="23"/>
      <c r="K8" s="23"/>
      <c r="L8" s="24">
        <f t="shared" si="0"/>
        <v>1.35</v>
      </c>
    </row>
    <row r="9" spans="1:12" x14ac:dyDescent="0.3">
      <c r="A9" s="21" t="s">
        <v>80</v>
      </c>
      <c r="B9" s="22">
        <v>0.2</v>
      </c>
      <c r="C9" s="23"/>
      <c r="D9" s="22">
        <v>1</v>
      </c>
      <c r="E9" s="23"/>
      <c r="F9" s="23"/>
      <c r="G9" s="23"/>
      <c r="H9" s="23"/>
      <c r="I9" s="23"/>
      <c r="J9" s="23"/>
      <c r="K9" s="23"/>
      <c r="L9" s="24">
        <f t="shared" si="0"/>
        <v>1.2</v>
      </c>
    </row>
    <row r="10" spans="1:12" x14ac:dyDescent="0.3">
      <c r="A10" s="21" t="s">
        <v>81</v>
      </c>
      <c r="B10" s="23"/>
      <c r="C10" s="23"/>
      <c r="D10" s="23"/>
      <c r="E10" s="23"/>
      <c r="F10" s="23"/>
      <c r="G10" s="23"/>
      <c r="H10" s="22">
        <v>0.7</v>
      </c>
      <c r="I10" s="22">
        <v>1</v>
      </c>
      <c r="J10" s="23"/>
      <c r="K10" s="23"/>
      <c r="L10" s="24">
        <f t="shared" si="0"/>
        <v>1.7</v>
      </c>
    </row>
    <row r="11" spans="1:12" x14ac:dyDescent="0.3">
      <c r="A11" s="21" t="s">
        <v>82</v>
      </c>
      <c r="B11" s="23"/>
      <c r="C11" s="23"/>
      <c r="D11" s="23"/>
      <c r="E11" s="23"/>
      <c r="F11" s="23"/>
      <c r="G11" s="23"/>
      <c r="H11" s="23"/>
      <c r="I11" s="22">
        <v>0.35</v>
      </c>
      <c r="J11" s="23"/>
      <c r="K11" s="22">
        <v>1</v>
      </c>
      <c r="L11" s="24">
        <f t="shared" si="0"/>
        <v>1.35</v>
      </c>
    </row>
    <row r="12" spans="1:12" x14ac:dyDescent="0.3">
      <c r="A12" s="21" t="s">
        <v>83</v>
      </c>
      <c r="B12" s="23"/>
      <c r="C12" s="22">
        <v>0.45</v>
      </c>
      <c r="D12" s="22">
        <v>0.45</v>
      </c>
      <c r="E12" s="23"/>
      <c r="F12" s="23"/>
      <c r="G12" s="23"/>
      <c r="H12" s="23"/>
      <c r="I12" s="23"/>
      <c r="J12" s="22">
        <v>0.8</v>
      </c>
      <c r="K12" s="23"/>
      <c r="L12" s="24">
        <f t="shared" si="0"/>
        <v>1.7000000000000002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一年的每一週</vt:lpstr>
      <vt:lpstr>每週可做的行動</vt:lpstr>
      <vt:lpstr>行動一覽</vt:lpstr>
      <vt:lpstr>練習項目的權重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Sean</cp:lastModifiedBy>
  <dcterms:created xsi:type="dcterms:W3CDTF">2026-08-20T05:12:51Z</dcterms:created>
  <dcterms:modified xsi:type="dcterms:W3CDTF">2026-08-20T05:12:52Z</dcterms:modified>
</cp:coreProperties>
</file>